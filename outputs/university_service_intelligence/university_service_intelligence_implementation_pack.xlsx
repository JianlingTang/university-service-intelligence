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b0cb012cf84f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6c540e6d8c7f47fe"/>
    <x:sheet xmlns:r="http://schemas.openxmlformats.org/officeDocument/2006/relationships" name="Validation" sheetId="2" r:id="R1017a8469bab4e70"/>
    <x:sheet xmlns:r="http://schemas.openxmlformats.org/officeDocument/2006/relationships" name="Scenario QA" sheetId="3" r:id="R7e7981cd51e34c9d"/>
    <x:sheet xmlns:r="http://schemas.openxmlformats.org/officeDocument/2006/relationships" name="Forecast QA" sheetId="4" r:id="Rb993c9d9563b4f94"/>
    <x:sheet xmlns:r="http://schemas.openxmlformats.org/officeDocument/2006/relationships" name="Action Register" sheetId="5" r:id="R11c556e9104f486f"/>
    <x:sheet xmlns:r="http://schemas.openxmlformats.org/officeDocument/2006/relationships" name="JD Alignment" sheetId="6" r:id="R2b590e0b07da47dd"/>
    <x:sheet xmlns:r="http://schemas.openxmlformats.org/officeDocument/2006/relationships" name="KPI Definitions" sheetId="7" r:id="Rcc6eac3856d34176"/>
    <x:sheet xmlns:r="http://schemas.openxmlformats.org/officeDocument/2006/relationships" name="Data Model" sheetId="8" r:id="Ra956f97e61ff4d68"/>
    <x:sheet xmlns:r="http://schemas.openxmlformats.org/officeDocument/2006/relationships" name="QA Overview" sheetId="9" r:id="Rfa19b1662f8344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0.00"/>
    <x:numFmt numFmtId="203" formatCode="#,##0.0"/>
  </x:numFmts>
  <x:fonts count="11">
    <x:font>
      <x:sz val="11"/>
      <x:name val="Carlito"/>
    </x:font>
    <x:font>
      <x:sz val="11"/>
      <x:color rgb="FFFFFFFF"/>
      <x:name val="Carlito"/>
    </x:font>
    <x:font>
      <x:b/>
      <x:sz val="18"/>
      <x:color rgb="FFFFFFFF"/>
      <x:name val="Carlito"/>
    </x:font>
    <x:font>
      <x:sz val="10"/>
      <x:color rgb="FFD9EAF2"/>
      <x:name val="Carlito"/>
    </x:font>
    <x:font>
      <x:b/>
      <x:sz val="11"/>
      <x:color rgb="FFFFFFFF"/>
      <x:name val="Carlito"/>
    </x:font>
    <x:font>
      <x:b/>
      <x:sz val="11"/>
      <x:color rgb="FF102A43"/>
      <x:name val="Carlito"/>
    </x:font>
    <x:font>
      <x:b/>
      <x:sz val="11"/>
      <x:color rgb="FF7C4D00"/>
      <x:name val="Carlito"/>
    </x:font>
    <x:font>
      <x:sz val="9"/>
      <x:color rgb="FF102A43"/>
      <x:name val="Carlito"/>
    </x:font>
    <x:font>
      <x:b/>
      <x:sz val="9"/>
      <x:color rgb="FFFFFFFF"/>
      <x:name val="Carlito"/>
    </x:font>
    <x:font>
      <x:b/>
      <x:sz val="11"/>
      <x:color rgb="FF627D98"/>
      <x:name val="Carlito"/>
    </x:font>
    <x:font>
      <x:b/>
      <x:sz val="18"/>
      <x:color rgb="FF102A4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156B8A"/>
      </x:patternFill>
    </x:fill>
    <x:fill>
      <x:patternFill patternType="solid">
        <x:fgColor rgb="FFFFF3D6"/>
      </x:patternFill>
    </x:fill>
    <x:fill>
      <x:patternFill patternType="solid">
        <x:fgColor rgb="FFF5F7FA"/>
      </x:patternFill>
    </x:fill>
  </x:fills>
  <x:borders count="8">
    <x:border/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/>
    <x:xf numFmtId="0" fontId="0" fillId="0" borderId="2" xfId="0" applyNumberFormat="1" applyFont="1" applyFill="1" applyBorder="1"/>
    <x:xf numFmtId="0" fontId="5" fillId="0" borderId="3" xfId="0" applyNumberFormat="1" applyFont="1" applyFill="1" applyBorder="1"/>
    <x:xf numFmtId="0" fontId="0" fillId="0" borderId="3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wrapText="1"/>
    </x:xf>
    <x:xf numFmtId="200" fontId="7" fillId="0" borderId="2" xfId="0" applyNumberFormat="1" applyFont="1" applyFill="1" applyBorder="1" applyAlignment="1">
      <x:alignment wrapText="1"/>
    </x:xf>
    <x:xf numFmtId="200" fontId="7" fillId="0" borderId="3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7" fillId="0" borderId="2" xfId="0" applyNumberFormat="1" applyFont="1" applyFill="1" applyBorder="1" applyAlignment="1">
      <x:alignment wrapText="1"/>
    </x:xf>
    <x:xf numFmtId="201" fontId="7" fillId="0" borderId="3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7" fillId="0" borderId="2" xfId="0" applyNumberFormat="1" applyFont="1" applyFill="1" applyBorder="1" applyAlignment="1">
      <x:alignment wrapText="1"/>
    </x:xf>
    <x:xf numFmtId="202" fontId="7" fillId="0" borderId="3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200" fontId="10" fillId="0" borderId="0" xfId="0" applyNumberFormat="1" applyFont="1" applyFill="1" applyBorder="1"/>
    <x:xf numFmtId="201" fontId="10" fillId="0" borderId="0" xfId="0" applyNumberFormat="1" applyFont="1" applyFill="1" applyBorder="1"/>
    <x:xf numFmtId="0" fontId="9" fillId="5" borderId="4" xfId="0" applyNumberFormat="1" applyFont="1" applyFill="1" applyBorder="1" applyAlignment="1">
      <x:alignment wrapText="1"/>
    </x:xf>
    <x:xf numFmtId="0" fontId="9" fillId="5" borderId="3" xfId="0" applyNumberFormat="1" applyFont="1" applyFill="1" applyBorder="1" applyAlignment="1">
      <x:alignment wrapText="1"/>
    </x:xf>
    <x:xf numFmtId="0" fontId="9" fillId="5" borderId="5" xfId="0" applyNumberFormat="1" applyFont="1" applyFill="1" applyBorder="1" applyAlignment="1">
      <x:alignment wrapText="1"/>
    </x:xf>
    <x:xf numFmtId="200" fontId="10" fillId="0" borderId="6" xfId="0" applyNumberFormat="1" applyFont="1" applyFill="1" applyBorder="1"/>
    <x:xf numFmtId="200" fontId="10" fillId="0" borderId="1" xfId="0" applyNumberFormat="1" applyFont="1" applyFill="1" applyBorder="1"/>
    <x:xf numFmtId="201" fontId="10" fillId="0" borderId="7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146B5A"/>
      </x:font>
      <x:fill>
        <x:patternFill patternType="solid">
          <x:bgColor rgb="FFDDF3EE"/>
        </x:patternFill>
      </x:fill>
    </x:dxf>
    <x:dxf>
      <x:font>
        <x:b/>
        <x:color rgb="FF7C4D00"/>
      </x:font>
      <x:fill>
        <x:patternFill patternType="solid">
          <x:bgColor rgb="FFFFF3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624956822543ec" /><Relationship Type="http://schemas.openxmlformats.org/officeDocument/2006/relationships/theme" Target="/xl/theme/theme1.xml" Id="Rb2681321adeb4847" /><Relationship Type="http://schemas.openxmlformats.org/officeDocument/2006/relationships/sharedStrings" Target="/xl/sharedStrings.xml" Id="R92038cc2929a4f61" /><Relationship Type="http://schemas.openxmlformats.org/officeDocument/2006/relationships/worksheet" Target="/xl/worksheets/sheet1.xml" Id="R6c540e6d8c7f47fe" /><Relationship Type="http://schemas.openxmlformats.org/officeDocument/2006/relationships/worksheet" Target="/xl/worksheets/sheet2.xml" Id="R1017a8469bab4e70" /><Relationship Type="http://schemas.openxmlformats.org/officeDocument/2006/relationships/worksheet" Target="/xl/worksheets/sheet3.xml" Id="R7e7981cd51e34c9d" /><Relationship Type="http://schemas.openxmlformats.org/officeDocument/2006/relationships/worksheet" Target="/xl/worksheets/sheet4.xml" Id="Rb993c9d9563b4f94" /><Relationship Type="http://schemas.openxmlformats.org/officeDocument/2006/relationships/worksheet" Target="/xl/worksheets/sheet5.xml" Id="R11c556e9104f486f" /><Relationship Type="http://schemas.openxmlformats.org/officeDocument/2006/relationships/worksheet" Target="/xl/worksheets/sheet6.xml" Id="R2b590e0b07da47dd" /><Relationship Type="http://schemas.openxmlformats.org/officeDocument/2006/relationships/worksheet" Target="/xl/worksheets/sheet7.xml" Id="Rcc6eac3856d34176" /><Relationship Type="http://schemas.openxmlformats.org/officeDocument/2006/relationships/worksheet" Target="/xl/worksheets/sheet8.xml" Id="Ra956f97e61ff4d68" /><Relationship Type="http://schemas.openxmlformats.org/officeDocument/2006/relationships/worksheet" Target="/xl/worksheets/sheet9.xml" Id="Rfa19b1662f83445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4577ebc39fb405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Estimated avoidable staff hours by action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Avoidable hours</c:v>
          </c:tx>
          <c:cat>
            <c:strRef>
              <c:f>'QA Overview'!$A$9:$A$16</c:f>
              <c:strCache>
                <c:ptCount val="0"/>
              </c:strCache>
            </c:strRef>
          </c:cat>
          <c:val>
            <c:numRef>
              <c:f>'QA Overview'!$B$9:$B$16</c:f>
              <c:numCache>
                <c:formatCode>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11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577ebc39fb405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240e8b70f77548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6" hidden="0" customWidth="1"/>
  </x:cols>
  <x:sheetData>
    <x:row r="1" ht="24" customHeight="1">
      <x:c r="A1" s="3" t="str">
        <x:v>University Service Intelligence &amp; Action Hub</x:v>
      </x:c>
      <x:c r="B1" s="2"/>
      <x:c r="C1" s="2"/>
      <x:c r="D1" s="2"/>
      <x:c r="E1" s="2"/>
      <x:c r="F1" s="2"/>
      <x:c r="G1" s="2"/>
      <x:c r="H1" s="2"/>
    </x:row>
    <x:row r="2" ht="24" customHeight="1">
      <x:c r="A2" s="4" t="str">
        <x:v>Synthetic Power BI implementation pack aligned to the Analytics Specialist position description</x:v>
      </x:c>
      <x:c r="B2" s="2"/>
      <x:c r="C2" s="2"/>
      <x:c r="D2" s="2"/>
      <x:c r="E2" s="2"/>
      <x:c r="F2" s="2"/>
      <x:c r="G2" s="2"/>
      <x:c r="H2" s="2"/>
    </x:row>
    <x:row r="4" ht="15" hidden="0" customHeight="1">
      <x:c r="A4" s="9" t="str">
        <x:v>Artifact</x:v>
      </x:c>
      <x:c r="B4" s="9" t="str">
        <x:v>Purpose</x:v>
      </x:c>
    </x:row>
    <x:row r="5" ht="92.4000015258789" hidden="0" customHeight="1">
      <x:c r="A5" s="14" t="str">
        <x:v>Curated CSV model</x:v>
      </x:c>
      <x:c r="B5" s="15" t="str">
        <x:v>Import-ready fact and dimension tables for Power BI Desktop</x:v>
      </x:c>
    </x:row>
    <x:row r="6" ht="105.5999984741211" hidden="0" customHeight="1">
      <x:c r="A6" s="14" t="str">
        <x:v>SQLite database</x:v>
      </x:c>
      <x:c r="B6" s="15" t="str">
        <x:v>Reproducible SQL transformation and local analytics application source</x:v>
      </x:c>
    </x:row>
    <x:row r="7" ht="118.80000305175781" hidden="0" customHeight="1">
      <x:c r="A7" s="14" t="str">
        <x:v>DAX measure library</x:v>
      </x:c>
      <x:c r="B7" s="15" t="str">
        <x:v>Operational efficiency, experience, forecast and data-health measures</x:v>
      </x:c>
    </x:row>
    <x:row r="8" ht="118.80000305175781" hidden="0" customHeight="1">
      <x:c r="A8" s="14" t="str">
        <x:v>Four dashboard mockups</x:v>
      </x:c>
      <x:c r="B8" s="15" t="str">
        <x:v>Executive, bottleneck, experience and action page specifications</x:v>
      </x:c>
    </x:row>
    <x:row r="9" ht="92.4000015258789" hidden="0" customHeight="1">
      <x:c r="A9" s="14" t="str">
        <x:v>Forecast model</x:v>
      </x:c>
      <x:c r="B9" s="15" t="str">
        <x:v>Seasonal regression, 12-week outlook and holdout evaluation</x:v>
      </x:c>
    </x:row>
    <x:row r="10" ht="118.80000305175781" hidden="0" customHeight="1">
      <x:c r="A10" s="14" t="str">
        <x:v>Action Console</x:v>
      </x:c>
      <x:c r="B10" s="15" t="str">
        <x:v>Read-only local application for evidence, forecast and scenario analysis</x:v>
      </x:c>
    </x:row>
    <x:row r="11" ht="132" hidden="0" customHeight="1">
      <x:c r="A11" s="14" t="str">
        <x:v>JD alignment</x:v>
      </x:c>
      <x:c r="B11" s="15" t="str">
        <x:v>Traceability to Position Summary, Responsibilities, Skills and Work Experience</x:v>
      </x:c>
    </x:row>
    <x:row r="12" ht="118.80000305175781" hidden="0" customHeight="1">
      <x:c r="A12" s="16" t="str">
        <x:v>Important</x:v>
      </x:c>
      <x:c r="B12" s="17" t="str">
        <x:v>All figures are synthetic and do not represent University of Sydney performance</x:v>
      </x:c>
    </x:row>
    <x:row r="14">
      <x:c r="A14" s="20" t="str">
        <x:v>Build the PBIX in Windows Power BI Desktop using powerbi/BUILD_GUIDE.md. The repository deliberately does not include a fabricated PBIX binary generated outside Power BI Desktop.</x:v>
      </x:c>
      <x:c r="B14" s="20"/>
      <x:c r="C14" s="20"/>
      <x:c r="D14" s="20"/>
      <x:c r="E14" s="20"/>
      <x:c r="F14" s="20"/>
      <x:c r="G14" s="20"/>
      <x:c r="H14" s="20"/>
    </x:row>
    <x:row r="15">
      <x:c r="A15" s="20"/>
      <x:c r="B15" s="20"/>
      <x:c r="C15" s="20"/>
      <x:c r="D15" s="20"/>
      <x:c r="E15" s="20"/>
      <x:c r="F15" s="20"/>
      <x:c r="G15" s="20"/>
      <x:c r="H15" s="20"/>
    </x:row>
  </x:sheetData>
  <x:mergeCells>
    <x:mergeCell ref="A1:H1"/>
    <x:mergeCell ref="A2:H2"/>
    <x:mergeCell ref="A14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.21999979019165" hidden="0" customWidth="1"/>
    <x:col min="3" max="3" width="4.110000133514404" hidden="0" customWidth="1"/>
  </x:cols>
  <x:sheetData>
    <x:row r="1" ht="30" hidden="0" customHeight="1">
      <x:c r="A1" s="27" t="str">
        <x:v>check</x:v>
      </x:c>
      <x:c r="B1" s="27" t="str">
        <x:v>value</x:v>
      </x:c>
      <x:c r="C1" s="27" t="str">
        <x:v>status</x:v>
      </x:c>
    </x:row>
    <x:row r="2" ht="15" hidden="0" customHeight="1">
      <x:c r="A2" s="24" t="str">
        <x:v>Curated unique cases</x:v>
      </x:c>
      <x:c r="B2" s="28" t="n">
        <x:v>18000</x:v>
      </x:c>
      <x:c r="C2" s="24" t="str">
        <x:v>PASS</x:v>
      </x:c>
    </x:row>
    <x:row r="3" ht="15" hidden="0" customHeight="1">
      <x:c r="A3" s="24" t="str">
        <x:v>Case events</x:v>
      </x:c>
      <x:c r="B3" s="28" t="n">
        <x:v>70000</x:v>
      </x:c>
      <x:c r="C3" s="24" t="str">
        <x:v>PASS</x:v>
      </x:c>
    </x:row>
    <x:row r="4" ht="15" hidden="0" customHeight="1">
      <x:c r="A4" s="24" t="str">
        <x:v>Interactions</x:v>
      </x:c>
      <x:c r="B4" s="28" t="n">
        <x:v>35000</x:v>
      </x:c>
      <x:c r="C4" s="24" t="str">
        <x:v>PASS</x:v>
      </x:c>
    </x:row>
    <x:row r="5" ht="15" hidden="0" customHeight="1">
      <x:c r="A5" s="24" t="str">
        <x:v>Feedback responses</x:v>
      </x:c>
      <x:c r="B5" s="28" t="n">
        <x:v>6000</x:v>
      </x:c>
      <x:c r="C5" s="24" t="str">
        <x:v>PASS</x:v>
      </x:c>
    </x:row>
    <x:row r="6" ht="15" hidden="0" customHeight="1">
      <x:c r="A6" s="24" t="str">
        <x:v>Facilities work orders</x:v>
      </x:c>
      <x:c r="B6" s="28" t="n">
        <x:v>1500</x:v>
      </x:c>
      <x:c r="C6" s="24" t="str">
        <x:v>PASS</x:v>
      </x:c>
    </x:row>
    <x:row r="7" ht="15" hidden="0" customHeight="1">
      <x:c r="A7" s="24" t="str">
        <x:v>Action insights</x:v>
      </x:c>
      <x:c r="B7" s="28" t="n">
        <x:v>8</x:v>
      </x:c>
      <x:c r="C7" s="24" t="str">
        <x:v>PASS</x:v>
      </x:c>
    </x:row>
    <x:row r="8" ht="15" hidden="0" customHeight="1">
      <x:c r="A8" s="24" t="str">
        <x:v>Demand forecast rows</x:v>
      </x:c>
      <x:c r="B8" s="28" t="n">
        <x:v>345</x:v>
      </x:c>
      <x:c r="C8" s="24" t="str">
        <x:v>PASS</x:v>
      </x:c>
    </x:row>
    <x:row r="9" ht="15" hidden="0" customHeight="1">
      <x:c r="A9" s="24" t="str">
        <x:v>DQ issues recorded</x:v>
      </x:c>
      <x:c r="B9" s="28" t="n">
        <x:v>255</x:v>
      </x:c>
      <x:c r="C9" s="24" t="str">
        <x:v>PASS</x:v>
      </x:c>
    </x:row>
    <x:row r="10" ht="15" hidden="0" customHeight="1">
      <x:c r="A10" s="25" t="str">
        <x:v>Open backlog</x:v>
      </x:c>
      <x:c r="B10" s="29" t="n">
        <x:v>182</x:v>
      </x:c>
      <x:c r="C10" s="25" t="str">
        <x:v>PASS</x:v>
      </x:c>
    </x:row>
    <x:row r="11">
      <x:c r="B11" s="30"/>
    </x:row>
    <x:row r="12">
      <x:c r="B12" s="30"/>
    </x:row>
    <x:row r="13">
      <x:c r="B13" s="30"/>
    </x:row>
    <x:row r="14">
      <x:c r="B14" s="30"/>
    </x:row>
    <x:row r="15">
      <x:c r="B15" s="30"/>
    </x:row>
    <x:row r="16">
      <x:c r="B16" s="30"/>
    </x:row>
    <x:row r="17">
      <x:c r="B17" s="30"/>
    </x:row>
    <x:row r="18">
      <x:c r="B18" s="30"/>
    </x:row>
    <x:row r="19">
      <x:c r="B19" s="30"/>
    </x:row>
    <x:row r="20">
      <x:c r="B20" s="3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.11000061035156" hidden="0" customWidth="1"/>
    <x:col min="2" max="2" width="8.890000343322754" hidden="0" customWidth="1"/>
    <x:col min="3" max="3" width="9" hidden="0" customWidth="1"/>
    <x:col min="4" max="4" width="4.110000133514404" hidden="0" customWidth="1"/>
  </x:cols>
  <x:sheetData>
    <x:row r="1" ht="30" hidden="0" customHeight="1">
      <x:c r="A1" s="27" t="str">
        <x:v>scenario</x:v>
      </x:c>
      <x:c r="B1" s="27" t="str">
        <x:v>comparison_a</x:v>
      </x:c>
      <x:c r="C1" s="27" t="str">
        <x:v>comparison_b</x:v>
      </x:c>
      <x:c r="D1" s="27" t="str">
        <x:v>status</x:v>
      </x:c>
    </x:row>
    <x:row r="2" ht="15" hidden="0" customHeight="1">
      <x:c r="A2" s="24" t="str">
        <x:v>Admin assignment hours improved after routing intervention</x:v>
      </x:c>
      <x:c r="B2" s="31" t="n">
        <x:v>13.51</x:v>
      </x:c>
      <x:c r="C2" s="31" t="n">
        <x:v>8.45</x:v>
      </x:c>
      <x:c r="D2" s="24" t="str">
        <x:v>PASS</x:v>
      </x:c>
    </x:row>
    <x:row r="3" ht="15" hidden="0" customHeight="1">
      <x:c r="A3" s="24" t="str">
        <x:v>IT repeat contacts reduced after self-service intervention</x:v>
      </x:c>
      <x:c r="B3" s="31" t="n">
        <x:v>0.5441</x:v>
      </x:c>
      <x:c r="C3" s="31" t="n">
        <x:v>0.2374</x:v>
      </x:c>
      <x:c r="D3" s="24" t="str">
        <x:v>PASS</x:v>
      </x:c>
    </x:row>
    <x:row r="4" ht="15" hidden="0" customHeight="1">
      <x:c r="A4" s="25" t="str">
        <x:v>Facilities hotspot has elevated SLA breach</x:v>
      </x:c>
      <x:c r="B4" s="32" t="n">
        <x:v>0.5804</x:v>
      </x:c>
      <x:c r="C4" s="32" t="n">
        <x:v>0.2696</x:v>
      </x:c>
      <x:c r="D4" s="25" t="str">
        <x:v>PASS</x:v>
      </x:c>
    </x:row>
    <x:row r="5">
      <x:c r="B5" s="33"/>
      <x:c r="C5" s="33"/>
    </x:row>
    <x:row r="6">
      <x:c r="B6" s="33"/>
      <x:c r="C6" s="33"/>
    </x:row>
    <x:row r="7">
      <x:c r="B7" s="33"/>
      <x:c r="C7" s="33"/>
    </x:row>
    <x:row r="8">
      <x:c r="B8" s="33"/>
      <x:c r="C8" s="33"/>
    </x:row>
    <x:row r="9">
      <x:c r="B9" s="33"/>
      <x:c r="C9" s="33"/>
    </x:row>
    <x:row r="10">
      <x:c r="B10" s="33"/>
      <x:c r="C10" s="33"/>
    </x:row>
    <x:row r="11">
      <x:c r="B11" s="33"/>
      <x:c r="C11" s="33"/>
    </x:row>
    <x:row r="12">
      <x:c r="B12" s="33"/>
      <x:c r="C12" s="33"/>
    </x:row>
    <x:row r="13">
      <x:c r="B13" s="33"/>
      <x:c r="C13" s="33"/>
    </x:row>
    <x:row r="14">
      <x:c r="B14" s="33"/>
      <x:c r="C14" s="33"/>
    </x:row>
    <x:row r="15">
      <x:c r="B15" s="33"/>
      <x:c r="C15" s="33"/>
    </x:row>
    <x:row r="16">
      <x:c r="B16" s="33"/>
      <x:c r="C16" s="33"/>
    </x:row>
    <x:row r="17">
      <x:c r="B17" s="33"/>
      <x:c r="C17" s="33"/>
    </x:row>
    <x:row r="18">
      <x:c r="B18" s="33"/>
      <x:c r="C18" s="33"/>
    </x:row>
    <x:row r="19">
      <x:c r="B19" s="33"/>
      <x:c r="C19" s="33"/>
    </x:row>
    <x:row r="20">
      <x:c r="B20" s="33"/>
      <x:c r="C20" s="3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79999732971191" hidden="0" customWidth="1"/>
    <x:col min="2" max="2" width="7.440000057220459" hidden="0" customWidth="1"/>
    <x:col min="3" max="3" width="13" hidden="0" customWidth="1"/>
    <x:col min="4" max="4" width="9.4399995803833" hidden="0" customWidth="1"/>
    <x:col min="5" max="5" width="7.21999979019165" hidden="0" customWidth="1"/>
    <x:col min="6" max="6" width="7.559999942779541" hidden="0" customWidth="1"/>
    <x:col min="7" max="7" width="4.559999942779541" hidden="0" customWidth="1"/>
    <x:col min="8" max="8" width="8.4399995803833" hidden="0" customWidth="1"/>
    <x:col min="9" max="9" width="43" hidden="0" customWidth="1"/>
  </x:cols>
  <x:sheetData>
    <x:row r="1" ht="30" hidden="0" customHeight="1">
      <x:c r="A1" s="27" t="str">
        <x:v>model_version</x:v>
      </x:c>
      <x:c r="B1" s="27" t="str">
        <x:v>service_key</x:v>
      </x:c>
      <x:c r="C1" s="27" t="str">
        <x:v>training_end_week</x:v>
      </x:c>
      <x:c r="D1" s="27" t="str">
        <x:v>holdout_weeks</x:v>
      </x:c>
      <x:c r="E1" s="27" t="str">
        <x:v>mae_cases</x:v>
      </x:c>
      <x:c r="F1" s="27" t="str">
        <x:v>rmse_cases</x:v>
      </x:c>
      <x:c r="G1" s="27" t="str">
        <x:v>wape</x:v>
      </x:c>
      <x:c r="H1" s="27" t="str">
        <x:v>forecast_bias</x:v>
      </x:c>
      <x:c r="I1" s="27" t="str">
        <x:v>synthetic_label</x:v>
      </x:c>
    </x:row>
    <x:row r="2" ht="15" hidden="0" customHeight="1">
      <x:c r="A2" s="24" t="str">
        <x:v>seasonal_linear_v1</x:v>
      </x:c>
      <x:c r="B2" s="24" t="n">
        <x:v>1</x:v>
      </x:c>
      <x:c r="C2" s="24" t="str">
        <x:v>2026-05-18 00:00:00</x:v>
      </x:c>
      <x:c r="D2" s="24" t="n">
        <x:v>12</x:v>
      </x:c>
      <x:c r="E2" s="34" t="n">
        <x:v>13.76</x:v>
      </x:c>
      <x:c r="F2" s="34" t="n">
        <x:v>16.99</x:v>
      </x:c>
      <x:c r="G2" s="31" t="n">
        <x:v>0.1364</x:v>
      </x:c>
      <x:c r="H2" s="31" t="n">
        <x:v>0.1003</x:v>
      </x:c>
      <x:c r="I2" s="24" t="str">
        <x:v>Synthetic demonstration data — not actual University of Sydney results</x:v>
      </x:c>
    </x:row>
    <x:row r="3" ht="15" hidden="0" customHeight="1">
      <x:c r="A3" s="24" t="str">
        <x:v>seasonal_linear_v1</x:v>
      </x:c>
      <x:c r="B3" s="24" t="n">
        <x:v>2</x:v>
      </x:c>
      <x:c r="C3" s="24" t="str">
        <x:v>2026-05-18 00:00:00</x:v>
      </x:c>
      <x:c r="D3" s="24" t="n">
        <x:v>12</x:v>
      </x:c>
      <x:c r="E3" s="34" t="n">
        <x:v>6.45</x:v>
      </x:c>
      <x:c r="F3" s="34" t="n">
        <x:v>8.25</x:v>
      </x:c>
      <x:c r="G3" s="31" t="n">
        <x:v>0.1047</x:v>
      </x:c>
      <x:c r="H3" s="31" t="n">
        <x:v>0.0444</x:v>
      </x:c>
      <x:c r="I3" s="24" t="str">
        <x:v>Synthetic demonstration data — not actual University of Sydney results</x:v>
      </x:c>
    </x:row>
    <x:row r="4" ht="15" hidden="0" customHeight="1">
      <x:c r="A4" s="25" t="str">
        <x:v>seasonal_linear_v1</x:v>
      </x:c>
      <x:c r="B4" s="25" t="n">
        <x:v>3</x:v>
      </x:c>
      <x:c r="C4" s="25" t="str">
        <x:v>2026-05-18 00:00:00</x:v>
      </x:c>
      <x:c r="D4" s="25" t="n">
        <x:v>12</x:v>
      </x:c>
      <x:c r="E4" s="35" t="n">
        <x:v>5.57</x:v>
      </x:c>
      <x:c r="F4" s="35" t="n">
        <x:v>6.55</x:v>
      </x:c>
      <x:c r="G4" s="32" t="n">
        <x:v>0.1569</x:v>
      </x:c>
      <x:c r="H4" s="32" t="n">
        <x:v>-0.0957</x:v>
      </x:c>
      <x:c r="I4" s="25" t="str">
        <x:v>Synthetic demonstration data — not actual University of Sydney results</x:v>
      </x:c>
    </x:row>
    <x:row r="5">
      <x:c r="E5" s="36"/>
      <x:c r="F5" s="36"/>
      <x:c r="G5" s="33"/>
      <x:c r="H5" s="33"/>
    </x:row>
    <x:row r="6">
      <x:c r="E6" s="36"/>
      <x:c r="F6" s="36"/>
      <x:c r="G6" s="33"/>
      <x:c r="H6" s="33"/>
    </x:row>
    <x:row r="7">
      <x:c r="E7" s="36"/>
      <x:c r="F7" s="36"/>
      <x:c r="G7" s="33"/>
      <x:c r="H7" s="33"/>
    </x:row>
    <x:row r="8">
      <x:c r="E8" s="36"/>
      <x:c r="F8" s="36"/>
      <x:c r="G8" s="33"/>
      <x:c r="H8" s="33"/>
    </x:row>
    <x:row r="9">
      <x:c r="E9" s="36"/>
      <x:c r="F9" s="36"/>
      <x:c r="G9" s="33"/>
      <x:c r="H9" s="33"/>
    </x:row>
    <x:row r="10">
      <x:c r="E10" s="36"/>
      <x:c r="F10" s="36"/>
      <x:c r="G10" s="33"/>
      <x:c r="H10" s="33"/>
    </x:row>
    <x:row r="11">
      <x:c r="E11" s="36"/>
      <x:c r="F11" s="36"/>
      <x:c r="G11" s="33"/>
      <x:c r="H11" s="33"/>
    </x:row>
    <x:row r="12">
      <x:c r="E12" s="36"/>
      <x:c r="F12" s="36"/>
      <x:c r="G12" s="33"/>
      <x:c r="H12" s="33"/>
    </x:row>
    <x:row r="13">
      <x:c r="E13" s="36"/>
      <x:c r="F13" s="36"/>
      <x:c r="G13" s="33"/>
      <x:c r="H13" s="33"/>
    </x:row>
    <x:row r="14">
      <x:c r="E14" s="36"/>
      <x:c r="F14" s="36"/>
      <x:c r="G14" s="33"/>
      <x:c r="H14" s="33"/>
    </x:row>
    <x:row r="15">
      <x:c r="E15" s="36"/>
      <x:c r="F15" s="36"/>
      <x:c r="G15" s="33"/>
      <x:c r="H15" s="33"/>
    </x:row>
    <x:row r="16">
      <x:c r="E16" s="36"/>
      <x:c r="F16" s="36"/>
      <x:c r="G16" s="33"/>
      <x:c r="H16" s="33"/>
    </x:row>
    <x:row r="17">
      <x:c r="E17" s="36"/>
      <x:c r="F17" s="36"/>
      <x:c r="G17" s="33"/>
      <x:c r="H17" s="33"/>
    </x:row>
    <x:row r="18">
      <x:c r="E18" s="36"/>
      <x:c r="F18" s="36"/>
      <x:c r="G18" s="33"/>
      <x:c r="H18" s="33"/>
    </x:row>
    <x:row r="19">
      <x:c r="E19" s="36"/>
      <x:c r="F19" s="36"/>
      <x:c r="G19" s="33"/>
      <x:c r="H19" s="33"/>
    </x:row>
    <x:row r="20">
      <x:c r="E20" s="36"/>
      <x:c r="F20" s="36"/>
      <x:c r="G20" s="33"/>
      <x:c r="H20" s="3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889999866485596" hidden="0" customWidth="1"/>
    <x:col min="2" max="2" width="13" hidden="0" customWidth="1"/>
    <x:col min="3" max="3" width="7.440000057220459" hidden="0" customWidth="1"/>
    <x:col min="4" max="4" width="8" hidden="0" customWidth="1"/>
    <x:col min="5" max="5" width="7.110000133514404" hidden="0" customWidth="1"/>
    <x:col min="6" max="6" width="35.88999938964844" hidden="0" customWidth="1"/>
    <x:col min="7" max="7" width="15.329999923706055" hidden="0" customWidth="1"/>
    <x:col min="8" max="8" width="11.109999656677246" hidden="0" customWidth="1"/>
    <x:col min="9" max="9" width="15.329999923706055" hidden="0" customWidth="1"/>
    <x:col min="10" max="10" width="11.109999656677246" hidden="0" customWidth="1"/>
    <x:col min="11" max="11" width="7.78000020980835" hidden="0" customWidth="1"/>
    <x:col min="12" max="12" width="69.55999755859375" hidden="0" customWidth="1"/>
    <x:col min="13" max="13" width="17.440000534057617" hidden="0" customWidth="1"/>
    <x:col min="14" max="14" width="22.559999465942383" hidden="0" customWidth="1"/>
    <x:col min="15" max="15" width="9.220000267028809" hidden="0" customWidth="1"/>
    <x:col min="16" max="16" width="7.78000020980835" hidden="0" customWidth="1"/>
    <x:col min="17" max="17" width="7.889999866485596" hidden="0" customWidth="1"/>
    <x:col min="18" max="18" width="9.5600004196167" hidden="0" customWidth="1"/>
    <x:col min="19" max="19" width="8.4399995803833" hidden="0" customWidth="1"/>
    <x:col min="20" max="20" width="5.329999923706055" hidden="0" customWidth="1"/>
    <x:col min="21" max="21" width="13" hidden="0" customWidth="1"/>
    <x:col min="22" max="22" width="20.110000610351562" hidden="0" customWidth="1"/>
    <x:col min="23" max="23" width="15.670000076293945" hidden="0" customWidth="1"/>
    <x:col min="24" max="24" width="9.220000267028809" hidden="0" customWidth="1"/>
    <x:col min="25" max="25" width="9.890000343322754" hidden="0" customWidth="1"/>
    <x:col min="26" max="26" width="43" hidden="0" customWidth="1"/>
  </x:cols>
  <x:sheetData>
    <x:row r="1" ht="30" hidden="0" customHeight="1">
      <x:c r="A1" s="27" t="str">
        <x:v>action_id</x:v>
      </x:c>
      <x:c r="B1" s="27" t="str">
        <x:v>insight_date</x:v>
      </x:c>
      <x:c r="C1" s="27" t="str">
        <x:v>service_key</x:v>
      </x:c>
      <x:c r="D1" s="27" t="str">
        <x:v>campus_key</x:v>
      </x:c>
      <x:c r="E1" s="27" t="str">
        <x:v>cohort_key</x:v>
      </x:c>
      <x:c r="F1" s="27" t="str">
        <x:v>issue</x:v>
      </x:c>
      <x:c r="G1" s="27" t="str">
        <x:v>evidence_1_name</x:v>
      </x:c>
      <x:c r="H1" s="27" t="str">
        <x:v>evidence_1_value</x:v>
      </x:c>
      <x:c r="I1" s="27" t="str">
        <x:v>evidence_2_name</x:v>
      </x:c>
      <x:c r="J1" s="27" t="str">
        <x:v>evidence_2_value</x:v>
      </x:c>
      <x:c r="K1" s="27" t="str">
        <x:v>sample_size</x:v>
      </x:c>
      <x:c r="L1" s="27" t="str">
        <x:v>recommended_action</x:v>
      </x:c>
      <x:c r="M1" s="27" t="str">
        <x:v>suggested_owner_team_key</x:v>
      </x:c>
      <x:c r="N1" s="27" t="str">
        <x:v>success_measure</x:v>
      </x:c>
      <x:c r="O1" s="27" t="str">
        <x:v>baseline_value</x:v>
      </x:c>
      <x:c r="P1" s="27" t="str">
        <x:v>target_value</x:v>
      </x:c>
      <x:c r="Q1" s="27" t="str">
        <x:v>actual_value</x:v>
      </x:c>
      <x:c r="R1" s="27" t="str">
        <x:v>unit</x:v>
      </x:c>
      <x:c r="S1" s="27" t="str">
        <x:v>action_status</x:v>
      </x:c>
      <x:c r="T1" s="27" t="str">
        <x:v>priority</x:v>
      </x:c>
      <x:c r="U1" s="27" t="str">
        <x:v>next_review_date</x:v>
      </x:c>
      <x:c r="V1" s="27" t="str">
        <x:v>estimated_avoidable_staff_hours</x:v>
      </x:c>
      <x:c r="W1" s="27" t="str">
        <x:v>negative_experience_rate</x:v>
      </x:c>
      <x:c r="X1" s="27" t="str">
        <x:v>users_affected</x:v>
      </x:c>
      <x:c r="Y1" s="27" t="str">
        <x:v>sla_breach_rate</x:v>
      </x:c>
      <x:c r="Z1" s="27" t="str">
        <x:v>synthetic_label</x:v>
      </x:c>
    </x:row>
    <x:row r="2" ht="15" hidden="0" customHeight="1">
      <x:c r="A2" s="24" t="str">
        <x:v>ACT-001</x:v>
      </x:c>
      <x:c r="B2" s="24" t="str">
        <x:v>2026-08-15 00:00:00</x:v>
      </x:c>
      <x:c r="C2" s="24" t="n">
        <x:v>1</x:v>
      </x:c>
      <x:c r="D2" s="24" t="n">
        <x:v>0</x:v>
      </x:c>
      <x:c r="E2" s="24" t="n">
        <x:v>0</x:v>
      </x:c>
      <x:c r="F2" s="24" t="str">
        <x:v>Assignment delays in enrolment and timetable cases</x:v>
      </x:c>
      <x:c r="G2" s="31" t="str">
        <x:v>Handoff rate</x:v>
      </x:c>
      <x:c r="H2" s="24" t="n">
        <x:v>0.68</x:v>
      </x:c>
      <x:c r="I2" s="31" t="str">
        <x:v>SLA breach rate</x:v>
      </x:c>
      <x:c r="J2" s="24" t="n">
        <x:v>0.4586</x:v>
      </x:c>
      <x:c r="K2" s="24" t="n">
        <x:v>4019</x:v>
      </x:c>
      <x:c r="L2" s="24" t="str">
        <x:v>Introduce rules-based routing and a seven-business-hour assignment threshold.</x:v>
      </x:c>
      <x:c r="M2" s="24" t="n">
        <x:v>1</x:v>
      </x:c>
      <x:c r="N2" s="24" t="str">
        <x:v>Median assignment business hours</x:v>
      </x:c>
      <x:c r="O2" s="31" t="n">
        <x:v>8.64</x:v>
      </x:c>
      <x:c r="P2" s="31" t="n">
        <x:v>6.048</x:v>
      </x:c>
      <x:c r="Q2" s="31" t="n">
        <x:v>6.35</x:v>
      </x:c>
      <x:c r="R2" s="24" t="str">
        <x:v>business hours</x:v>
      </x:c>
      <x:c r="S2" s="24" t="str">
        <x:v>In progress</x:v>
      </x:c>
      <x:c r="T2" s="31" t="str">
        <x:v>High</x:v>
      </x:c>
      <x:c r="U2" s="31" t="str">
        <x:v>2026-09-30 00:00:00</x:v>
      </x:c>
      <x:c r="V2" s="31" t="n">
        <x:v>1366</x:v>
      </x:c>
      <x:c r="W2" s="24" t="n">
        <x:v>0.5419</x:v>
      </x:c>
      <x:c r="X2" s="24" t="n">
        <x:v>4019</x:v>
      </x:c>
      <x:c r="Y2" s="24" t="n">
        <x:v>0.4586</x:v>
      </x:c>
      <x:c r="Z2" s="24" t="str">
        <x:v>Synthetic demonstration data — not actual University of Sydney results</x:v>
      </x:c>
    </x:row>
    <x:row r="3" ht="15" hidden="0" customHeight="1">
      <x:c r="A3" s="24" t="str">
        <x:v>ACT-002</x:v>
      </x:c>
      <x:c r="B3" s="24" t="str">
        <x:v>2026-08-15 00:00:00</x:v>
      </x:c>
      <x:c r="C3" s="24" t="n">
        <x:v>2</x:v>
      </x:c>
      <x:c r="D3" s="24" t="n">
        <x:v>0</x:v>
      </x:c>
      <x:c r="E3" s="24" t="n">
        <x:v>0</x:v>
      </x:c>
      <x:c r="F3" s="24" t="str">
        <x:v>Repeat contacts for account access and MFA</x:v>
      </x:c>
      <x:c r="G3" s="31" t="str">
        <x:v>Repeat-contact rate</x:v>
      </x:c>
      <x:c r="H3" s="24" t="n">
        <x:v>0.4093</x:v>
      </x:c>
      <x:c r="I3" s="31" t="str">
        <x:v>Self-service completion</x:v>
      </x:c>
      <x:c r="J3" s="24" t="n">
        <x:v>0.5574</x:v>
      </x:c>
      <x:c r="K3" s="24" t="n">
        <x:v>2761</x:v>
      </x:c>
      <x:c r="L3" s="24" t="str">
        <x:v>Redesign account recovery guidance and expose status-aware next steps before case submission.</x:v>
      </x:c>
      <x:c r="M3" s="24" t="n">
        <x:v>5</x:v>
      </x:c>
      <x:c r="N3" s="24" t="str">
        <x:v>Self-service completion rate</x:v>
      </x:c>
      <x:c r="O3" s="31" t="n">
        <x:v>0.5574</x:v>
      </x:c>
      <x:c r="P3" s="31" t="n">
        <x:v>0.72</x:v>
      </x:c>
      <x:c r="Q3" s="31" t="n">
        <x:v>0.7196</x:v>
      </x:c>
      <x:c r="R3" s="24" t="str">
        <x:v>%</x:v>
      </x:c>
      <x:c r="S3" s="24" t="str">
        <x:v>Completed</x:v>
      </x:c>
      <x:c r="T3" s="31" t="str">
        <x:v>High</x:v>
      </x:c>
      <x:c r="U3" s="31" t="str">
        <x:v>2026-10-15 00:00:00</x:v>
      </x:c>
      <x:c r="V3" s="31" t="n">
        <x:v>508.5</x:v>
      </x:c>
      <x:c r="W3" s="24" t="n">
        <x:v>0.4385</x:v>
      </x:c>
      <x:c r="X3" s="24" t="n">
        <x:v>2761</x:v>
      </x:c>
      <x:c r="Y3" s="24" t="n">
        <x:v>0.2789</x:v>
      </x:c>
      <x:c r="Z3" s="24" t="str">
        <x:v>Synthetic demonstration data — not actual University of Sydney results</x:v>
      </x:c>
    </x:row>
    <x:row r="4" ht="15" hidden="0" customHeight="1">
      <x:c r="A4" s="24" t="str">
        <x:v>ACT-003</x:v>
      </x:c>
      <x:c r="B4" s="24" t="str">
        <x:v>2026-08-15 00:00:00</x:v>
      </x:c>
      <x:c r="C4" s="24" t="n">
        <x:v>3</x:v>
      </x:c>
      <x:c r="D4" s="24" t="n">
        <x:v>1</x:v>
      </x:c>
      <x:c r="E4" s="24" t="n">
        <x:v>0</x:v>
      </x:c>
      <x:c r="F4" s="24" t="str">
        <x:v>Facilities rework in high-demand study environments</x:v>
      </x:c>
      <x:c r="G4" s="31" t="str">
        <x:v>Contractor rework rate</x:v>
      </x:c>
      <x:c r="H4" s="24" t="n">
        <x:v>0.1623</x:v>
      </x:c>
      <x:c r="I4" s="31" t="str">
        <x:v>On-time completion</x:v>
      </x:c>
      <x:c r="J4" s="24" t="n">
        <x:v>0.7708</x:v>
      </x:c>
      <x:c r="K4" s="24" t="n">
        <x:v>493</x:v>
      </x:c>
      <x:c r="L4" s="24" t="str">
        <x:v>Introduce contractor quality checks and weekly hotspot review for HVAC and study-space work orders.</x:v>
      </x:c>
      <x:c r="M4" s="24" t="n">
        <x:v>9</x:v>
      </x:c>
      <x:c r="N4" s="24" t="str">
        <x:v>Contractor rework rate</x:v>
      </x:c>
      <x:c r="O4" s="31" t="n">
        <x:v>0.1807</x:v>
      </x:c>
      <x:c r="P4" s="31" t="n">
        <x:v>0.1</x:v>
      </x:c>
      <x:c r="Q4" s="31" t="n">
        <x:v>0.0787</x:v>
      </x:c>
      <x:c r="R4" s="24" t="str">
        <x:v>%</x:v>
      </x:c>
      <x:c r="S4" s="24" t="str">
        <x:v>In progress</x:v>
      </x:c>
      <x:c r="T4" s="31" t="str">
        <x:v>High</x:v>
      </x:c>
      <x:c r="U4" s="31" t="str">
        <x:v>2026-09-15 00:00:00</x:v>
      </x:c>
      <x:c r="V4" s="31" t="n">
        <x:v>120</x:v>
      </x:c>
      <x:c r="W4" s="24" t="n">
        <x:v>0.578</x:v>
      </x:c>
      <x:c r="X4" s="24" t="n">
        <x:v>1039</x:v>
      </x:c>
      <x:c r="Y4" s="24" t="n">
        <x:v>0.5804</x:v>
      </x:c>
      <x:c r="Z4" s="24" t="str">
        <x:v>Synthetic demonstration data — not actual University of Sydney results</x:v>
      </x:c>
    </x:row>
    <x:row r="5" ht="15" hidden="0" customHeight="1">
      <x:c r="A5" s="24" t="str">
        <x:v>ACT-004</x:v>
      </x:c>
      <x:c r="B5" s="24" t="str">
        <x:v>2026-08-15 00:00:00</x:v>
      </x:c>
      <x:c r="C5" s="24" t="n">
        <x:v>1</x:v>
      </x:c>
      <x:c r="D5" s="24" t="n">
        <x:v>0</x:v>
      </x:c>
      <x:c r="E5" s="24" t="n">
        <x:v>0</x:v>
      </x:c>
      <x:c r="F5" s="24" t="str">
        <x:v>Predictable semester-start capacity shortfall</x:v>
      </x:c>
      <x:c r="G5" s="31" t="str">
        <x:v>Weeks above 10% gap</x:v>
      </x:c>
      <x:c r="H5" s="24" t="n">
        <x:v>0.2348</x:v>
      </x:c>
      <x:c r="I5" s="31" t="str">
        <x:v>Peak required hours</x:v>
      </x:c>
      <x:c r="J5" s="24" t="n">
        <x:v>71.72</x:v>
      </x:c>
      <x:c r="K5" s="24" t="n">
        <x:v>132</x:v>
      </x:c>
      <x:c r="L5" s="24" t="str">
        <x:v>Move roster capacity into the four peak weeks and publish high-volume self-service guidance before semester start.</x:v>
      </x:c>
      <x:c r="M5" s="24" t="n">
        <x:v>1</x:v>
      </x:c>
      <x:c r="N5" s="24" t="str">
        <x:v>Weeks with capacity gap above 10%</x:v>
      </x:c>
      <x:c r="O5" s="31" t="n">
        <x:v>0.2348</x:v>
      </x:c>
      <x:c r="P5" s="31" t="n">
        <x:v>0.15</x:v>
      </x:c>
      <x:c r="Q5" s="31" t="str"/>
      <x:c r="R5" s="24" t="str">
        <x:v>%</x:v>
      </x:c>
      <x:c r="S5" s="24" t="str">
        <x:v>Planned</x:v>
      </x:c>
      <x:c r="T5" s="31" t="str">
        <x:v>High</x:v>
      </x:c>
      <x:c r="U5" s="31" t="str">
        <x:v>2027-01-15 00:00:00</x:v>
      </x:c>
      <x:c r="V5" s="31" t="n">
        <x:v>400.7</x:v>
      </x:c>
      <x:c r="W5" s="24" t="n">
        <x:v>0.28</x:v>
      </x:c>
      <x:c r="X5" s="24" t="n">
        <x:v>3764</x:v>
      </x:c>
      <x:c r="Y5" s="24" t="n">
        <x:v>0.24</x:v>
      </x:c>
      <x:c r="Z5" s="24" t="str">
        <x:v>Synthetic demonstration data — not actual University of Sydney results</x:v>
      </x:c>
    </x:row>
    <x:row r="6" ht="15" hidden="0" customHeight="1">
      <x:c r="A6" s="24" t="str">
        <x:v>ACT-005</x:v>
      </x:c>
      <x:c r="B6" s="24" t="str">
        <x:v>2026-08-15 00:00:00</x:v>
      </x:c>
      <x:c r="C6" s="24" t="n">
        <x:v>1</x:v>
      </x:c>
      <x:c r="D6" s="24" t="n">
        <x:v>0</x:v>
      </x:c>
      <x:c r="E6" s="24" t="n">
        <x:v>4</x:v>
      </x:c>
      <x:c r="F6" s="24" t="str">
        <x:v>Higher effort for postgraduate international students</x:v>
      </x:c>
      <x:c r="G6" s="31" t="str">
        <x:v>Negative experience rate</x:v>
      </x:c>
      <x:c r="H6" s="24" t="n">
        <x:v>0.6081</x:v>
      </x:c>
      <x:c r="I6" s="31" t="str">
        <x:v>Repeat-contact rate</x:v>
      </x:c>
      <x:c r="J6" s="24" t="n">
        <x:v>0.4014</x:v>
      </x:c>
      <x:c r="K6" s="24" t="n">
        <x:v>3391</x:v>
      </x:c>
      <x:c r="L6" s="24" t="str">
        <x:v>Run a targeted journey review and test clearer guidance for enrolment and fee steps.</x:v>
      </x:c>
      <x:c r="M6" s="24" t="n">
        <x:v>1</x:v>
      </x:c>
      <x:c r="N6" s="24" t="str">
        <x:v>Negative experience rate</x:v>
      </x:c>
      <x:c r="O6" s="31" t="n">
        <x:v>0.6081</x:v>
      </x:c>
      <x:c r="P6" s="31" t="n">
        <x:v>0.25</x:v>
      </x:c>
      <x:c r="Q6" s="31" t="str"/>
      <x:c r="R6" s="24" t="str">
        <x:v>%</x:v>
      </x:c>
      <x:c r="S6" s="24" t="str">
        <x:v>Planned</x:v>
      </x:c>
      <x:c r="T6" s="31" t="str">
        <x:v>Medium</x:v>
      </x:c>
      <x:c r="U6" s="31" t="str">
        <x:v>2026-11-30 00:00:00</x:v>
      </x:c>
      <x:c r="V6" s="31" t="n">
        <x:v>612.5</x:v>
      </x:c>
      <x:c r="W6" s="24" t="n">
        <x:v>0.6081</x:v>
      </x:c>
      <x:c r="X6" s="24" t="n">
        <x:v>3391</x:v>
      </x:c>
      <x:c r="Y6" s="24" t="n">
        <x:v>0.4134</x:v>
      </x:c>
      <x:c r="Z6" s="24" t="str">
        <x:v>Synthetic demonstration data — not actual University of Sydney results</x:v>
      </x:c>
    </x:row>
    <x:row r="7" ht="15" hidden="0" customHeight="1">
      <x:c r="A7" s="24" t="str">
        <x:v>ACT-006</x:v>
      </x:c>
      <x:c r="B7" s="24" t="str">
        <x:v>2026-08-15 00:00:00</x:v>
      </x:c>
      <x:c r="C7" s="24" t="n">
        <x:v>2</x:v>
      </x:c>
      <x:c r="D7" s="24" t="n">
        <x:v>0</x:v>
      </x:c>
      <x:c r="E7" s="24" t="n">
        <x:v>0</x:v>
      </x:c>
      <x:c r="F7" s="24" t="str">
        <x:v>Learning-platform demand spikes near assessment periods</x:v>
      </x:c>
      <x:c r="G7" s="31" t="str">
        <x:v>P90 resolution hours</x:v>
      </x:c>
      <x:c r="H7" s="24" t="n">
        <x:v>72.795</x:v>
      </x:c>
      <x:c r="I7" s="31" t="str">
        <x:v>Negative experience rate</x:v>
      </x:c>
      <x:c r="J7" s="24" t="n">
        <x:v>0.4231</x:v>
      </x:c>
      <x:c r="K7" s="24" t="n">
        <x:v>796</x:v>
      </x:c>
      <x:c r="L7" s="24" t="str">
        <x:v>Publish incident-aware guidance and pre-position Learning Technology coverage for assessment peaks.</x:v>
      </x:c>
      <x:c r="M7" s="24" t="n">
        <x:v>6</x:v>
      </x:c>
      <x:c r="N7" s="24" t="str">
        <x:v>P90 resolution business hours</x:v>
      </x:c>
      <x:c r="O7" s="31" t="n">
        <x:v>72.795</x:v>
      </x:c>
      <x:c r="P7" s="31" t="n">
        <x:v>54.5962</x:v>
      </x:c>
      <x:c r="Q7" s="31" t="str"/>
      <x:c r="R7" s="24" t="str">
        <x:v>business hours</x:v>
      </x:c>
      <x:c r="S7" s="24" t="str">
        <x:v>Planned</x:v>
      </x:c>
      <x:c r="T7" s="31" t="str">
        <x:v>Medium</x:v>
      </x:c>
      <x:c r="U7" s="31" t="str">
        <x:v>2026-10-31 00:00:00</x:v>
      </x:c>
      <x:c r="V7" s="31" t="n">
        <x:v>84.2</x:v>
      </x:c>
      <x:c r="W7" s="24" t="n">
        <x:v>0.4231</x:v>
      </x:c>
      <x:c r="X7" s="24" t="n">
        <x:v>796</x:v>
      </x:c>
      <x:c r="Y7" s="24" t="n">
        <x:v>0.3442</x:v>
      </x:c>
      <x:c r="Z7" s="24" t="str">
        <x:v>Synthetic demonstration data — not actual University of Sydney results</x:v>
      </x:c>
    </x:row>
    <x:row r="8" ht="15" hidden="0" customHeight="1">
      <x:c r="A8" s="24" t="str">
        <x:v>ACT-007</x:v>
      </x:c>
      <x:c r="B8" s="24" t="str">
        <x:v>2026-08-15 00:00:00</x:v>
      </x:c>
      <x:c r="C8" s="24" t="n">
        <x:v>3</x:v>
      </x:c>
      <x:c r="D8" s="24" t="n">
        <x:v>1</x:v>
      </x:c>
      <x:c r="E8" s="24" t="n">
        <x:v>0</x:v>
      </x:c>
      <x:c r="F8" s="24" t="str">
        <x:v>Lighting work orders require clearer escalation</x:v>
      </x:c>
      <x:c r="G8" s="31" t="str">
        <x:v>On-time completion</x:v>
      </x:c>
      <x:c r="H8" s="24" t="n">
        <x:v>0.9009</x:v>
      </x:c>
      <x:c r="I8" s="31" t="str">
        <x:v>P90 completion hours</x:v>
      </x:c>
      <x:c r="J8" s="24" t="n">
        <x:v>39.838</x:v>
      </x:c>
      <x:c r="K8" s="24" t="n">
        <x:v>212</x:v>
      </x:c>
      <x:c r="L8" s="24" t="str">
        <x:v>Create an explicit safety escalation path and monitor aged lighting work orders daily.</x:v>
      </x:c>
      <x:c r="M8" s="24" t="n">
        <x:v>9</x:v>
      </x:c>
      <x:c r="N8" s="24" t="str">
        <x:v>On-time completion rate</x:v>
      </x:c>
      <x:c r="O8" s="31" t="n">
        <x:v>0.9009</x:v>
      </x:c>
      <x:c r="P8" s="31" t="n">
        <x:v>0.92</x:v>
      </x:c>
      <x:c r="Q8" s="31" t="str"/>
      <x:c r="R8" s="24" t="str">
        <x:v>%</x:v>
      </x:c>
      <x:c r="S8" s="24" t="str">
        <x:v>Planned</x:v>
      </x:c>
      <x:c r="T8" s="31" t="str">
        <x:v>Medium</x:v>
      </x:c>
      <x:c r="U8" s="31" t="str">
        <x:v>2026-09-30 00:00:00</x:v>
      </x:c>
      <x:c r="V8" s="31" t="n">
        <x:v>18</x:v>
      </x:c>
      <x:c r="W8" s="24" t="n">
        <x:v>0.31</x:v>
      </x:c>
      <x:c r="X8" s="24" t="n">
        <x:v>479</x:v>
      </x:c>
      <x:c r="Y8" s="24" t="n">
        <x:v>0.2818</x:v>
      </x:c>
      <x:c r="Z8" s="24" t="str">
        <x:v>Synthetic demonstration data — not actual University of Sydney results</x:v>
      </x:c>
    </x:row>
    <x:row r="9" ht="15" hidden="0" customHeight="1">
      <x:c r="A9" s="25" t="str">
        <x:v>ACT-008</x:v>
      </x:c>
      <x:c r="B9" s="25" t="str">
        <x:v>2026-08-15 00:00:00</x:v>
      </x:c>
      <x:c r="C9" s="25" t="n">
        <x:v>1</x:v>
      </x:c>
      <x:c r="D9" s="25" t="n">
        <x:v>0</x:v>
      </x:c>
      <x:c r="E9" s="25" t="n">
        <x:v>0</x:v>
      </x:c>
      <x:c r="F9" s="25" t="str">
        <x:v>Fees enquiries create avoidable follow-up</x:v>
      </x:c>
      <x:c r="G9" s="32" t="str">
        <x:v>Repeat-contact rate</x:v>
      </x:c>
      <x:c r="H9" s="25" t="n">
        <x:v>0.2689</x:v>
      </x:c>
      <x:c r="I9" s="32" t="str">
        <x:v>Customer effort &lt;=2</x:v>
      </x:c>
      <x:c r="J9" s="25" t="n">
        <x:v>0.1274</x:v>
      </x:c>
      <x:c r="K9" s="25" t="n">
        <x:v>1439</x:v>
      </x:c>
      <x:c r="L9" s="25" t="str">
        <x:v>Rewrite fee-status messages and add a single owner for complex payment enquiries.</x:v>
      </x:c>
      <x:c r="M9" s="25" t="n">
        <x:v>3</x:v>
      </x:c>
      <x:c r="N9" s="25" t="str">
        <x:v>Repeat-contact rate</x:v>
      </x:c>
      <x:c r="O9" s="32" t="n">
        <x:v>0.2689</x:v>
      </x:c>
      <x:c r="P9" s="32" t="n">
        <x:v>0.2017</x:v>
      </x:c>
      <x:c r="Q9" s="32" t="str"/>
      <x:c r="R9" s="25" t="str">
        <x:v>%</x:v>
      </x:c>
      <x:c r="S9" s="25" t="str">
        <x:v>Planned</x:v>
      </x:c>
      <x:c r="T9" s="32" t="str">
        <x:v>Medium</x:v>
      </x:c>
      <x:c r="U9" s="32" t="str">
        <x:v>2026-12-15 00:00:00</x:v>
      </x:c>
      <x:c r="V9" s="32" t="n">
        <x:v>174.2</x:v>
      </x:c>
      <x:c r="W9" s="25" t="n">
        <x:v>0.4374</x:v>
      </x:c>
      <x:c r="X9" s="25" t="n">
        <x:v>1439</x:v>
      </x:c>
      <x:c r="Y9" s="25" t="n">
        <x:v>0.3301</x:v>
      </x:c>
      <x:c r="Z9" s="25" t="str">
        <x:v>Synthetic demonstration data — not actual University of Sydney results</x:v>
      </x:c>
    </x:row>
    <x:row r="10">
      <x:c r="G10" s="33"/>
      <x:c r="I10" s="33"/>
      <x:c r="O10" s="33"/>
      <x:c r="P10" s="33"/>
      <x:c r="Q10" s="33"/>
      <x:c r="T10" s="33"/>
      <x:c r="U10" s="33"/>
      <x:c r="V10" s="33"/>
    </x:row>
    <x:row r="11">
      <x:c r="G11" s="33"/>
      <x:c r="I11" s="33"/>
      <x:c r="O11" s="33"/>
      <x:c r="P11" s="33"/>
      <x:c r="Q11" s="33"/>
      <x:c r="T11" s="33"/>
      <x:c r="U11" s="33"/>
      <x:c r="V11" s="33"/>
    </x:row>
    <x:row r="12">
      <x:c r="G12" s="33"/>
      <x:c r="I12" s="33"/>
      <x:c r="O12" s="33"/>
      <x:c r="P12" s="33"/>
      <x:c r="Q12" s="33"/>
      <x:c r="T12" s="33"/>
      <x:c r="U12" s="33"/>
      <x:c r="V12" s="33"/>
    </x:row>
    <x:row r="13">
      <x:c r="G13" s="33"/>
      <x:c r="I13" s="33"/>
      <x:c r="O13" s="33"/>
      <x:c r="P13" s="33"/>
      <x:c r="Q13" s="33"/>
      <x:c r="T13" s="33"/>
      <x:c r="U13" s="33"/>
      <x:c r="V13" s="33"/>
    </x:row>
    <x:row r="14">
      <x:c r="G14" s="33"/>
      <x:c r="I14" s="33"/>
      <x:c r="O14" s="33"/>
      <x:c r="P14" s="33"/>
      <x:c r="Q14" s="33"/>
      <x:c r="T14" s="33"/>
      <x:c r="U14" s="33"/>
      <x:c r="V14" s="33"/>
    </x:row>
    <x:row r="15">
      <x:c r="G15" s="33"/>
      <x:c r="I15" s="33"/>
      <x:c r="O15" s="33"/>
      <x:c r="P15" s="33"/>
      <x:c r="Q15" s="33"/>
      <x:c r="T15" s="33"/>
      <x:c r="U15" s="33"/>
      <x:c r="V15" s="33"/>
    </x:row>
    <x:row r="16">
      <x:c r="G16" s="33"/>
      <x:c r="I16" s="33"/>
      <x:c r="O16" s="33"/>
      <x:c r="P16" s="33"/>
      <x:c r="Q16" s="33"/>
      <x:c r="T16" s="33"/>
      <x:c r="U16" s="33"/>
      <x:c r="V16" s="33"/>
    </x:row>
    <x:row r="17">
      <x:c r="G17" s="33"/>
      <x:c r="I17" s="33"/>
      <x:c r="O17" s="33"/>
      <x:c r="P17" s="33"/>
      <x:c r="Q17" s="33"/>
      <x:c r="T17" s="33"/>
      <x:c r="U17" s="33"/>
      <x:c r="V17" s="33"/>
    </x:row>
    <x:row r="18">
      <x:c r="G18" s="33"/>
      <x:c r="I18" s="33"/>
      <x:c r="O18" s="33"/>
      <x:c r="P18" s="33"/>
      <x:c r="Q18" s="33"/>
      <x:c r="T18" s="33"/>
      <x:c r="U18" s="33"/>
      <x:c r="V18" s="33"/>
    </x:row>
    <x:row r="19">
      <x:c r="G19" s="33"/>
      <x:c r="I19" s="33"/>
      <x:c r="O19" s="33"/>
      <x:c r="P19" s="33"/>
      <x:c r="Q19" s="33"/>
      <x:c r="T19" s="33"/>
      <x:c r="U19" s="33"/>
      <x:c r="V19" s="33"/>
    </x:row>
    <x:row r="20">
      <x:c r="G20" s="33"/>
      <x:c r="I20" s="33"/>
      <x:c r="O20" s="33"/>
      <x:c r="P20" s="33"/>
      <x:c r="Q20" s="33"/>
      <x:c r="T20" s="33"/>
      <x:c r="U20" s="33"/>
      <x:c r="V20" s="3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6" hidden="0" customWidth="1"/>
    <x:col min="3" max="3" width="24" hidden="0" customWidth="1"/>
  </x:cols>
  <x:sheetData>
    <x:row r="1" ht="30" hidden="0" customHeight="1">
      <x:c r="A1" s="27" t="str">
        <x:v>Position requirement</x:v>
      </x:c>
      <x:c r="B1" s="27" t="str">
        <x:v>Project evidence</x:v>
      </x:c>
      <x:c r="C1" s="27" t="str">
        <x:v>Status</x:v>
      </x:c>
    </x:row>
    <x:row r="2" ht="15" hidden="0" customHeight="1">
      <x:c r="A2" s="24" t="str">
        <x:v>Multi-source actionable insights</x:v>
      </x:c>
      <x:c r="B2" s="24" t="str">
        <x:v>Cases, events, contacts, feedback, workforce, contractors, digital journey and population</x:v>
      </x:c>
      <x:c r="C2" s="24" t="str">
        <x:v>Implemented</x:v>
      </x:c>
    </x:row>
    <x:row r="3" ht="15" hidden="0" customHeight="1">
      <x:c r="A3" s="24" t="str">
        <x:v>Staff and student experience</x:v>
      </x:c>
      <x:c r="B3" s="24" t="str">
        <x:v>CSAT, CES, repeat demand, requester and lifecycle segmentation</x:v>
      </x:c>
      <x:c r="C3" s="24" t="str">
        <x:v>Implemented</x:v>
      </x:c>
    </x:row>
    <x:row r="4" ht="15" hidden="0" customHeight="1">
      <x:c r="A4" s="24" t="str">
        <x:v>Stakeholder partnership</x:v>
      </x:c>
      <x:c r="B4" s="24" t="str">
        <x:v>Decision-owner brief, acceptance criteria and action ownership</x:v>
      </x:c>
      <x:c r="C4" s="24" t="str">
        <x:v>Demonstrated method</x:v>
      </x:c>
    </x:row>
    <x:row r="5" ht="15" hidden="0" customHeight="1">
      <x:c r="A5" s="24" t="str">
        <x:v>SQL and Python</x:v>
      </x:c>
      <x:c r="B5" s="24" t="str">
        <x:v>Deterministic generator, SQLite transformations and validation</x:v>
      </x:c>
      <x:c r="C5" s="24" t="str">
        <x:v>Implemented</x:v>
      </x:c>
    </x:row>
    <x:row r="6" ht="15" hidden="0" customHeight="1">
      <x:c r="A6" s="24" t="str">
        <x:v>Power BI and multidimensional modelling</x:v>
      </x:c>
      <x:c r="B6" s="24" t="str">
        <x:v>Star schema, DAX, theme and four page specifications</x:v>
      </x:c>
      <x:c r="C6" s="24" t="str">
        <x:v>PBIX assembly required</x:v>
      </x:c>
    </x:row>
    <x:row r="7" ht="15" hidden="0" customHeight="1">
      <x:c r="A7" s="24" t="str">
        <x:v>Forecast future trends</x:v>
      </x:c>
      <x:c r="B7" s="24" t="str">
        <x:v>Seasonal regression, 12-week forecast, 95% interval and holdout WAPE</x:v>
      </x:c>
      <x:c r="C7" s="24" t="str">
        <x:v>Implemented</x:v>
      </x:c>
    </x:row>
    <x:row r="8" ht="15" hidden="0" customHeight="1">
      <x:c r="A8" s="24" t="str">
        <x:v>Trusted-advisor recommendations</x:v>
      </x:c>
      <x:c r="B8" s="24" t="str">
        <x:v>Eight recommendations with evidence, owner, baseline, target and review</x:v>
      </x:c>
      <x:c r="C8" s="24" t="str">
        <x:v>Implemented</x:v>
      </x:c>
    </x:row>
    <x:row r="9" ht="15" hidden="0" customHeight="1">
      <x:c r="A9" s="24" t="str">
        <x:v>Student lifecycle</x:v>
      </x:c>
      <x:c r="B9" s="24" t="str">
        <x:v>Pre-enrolment, Commencing, Continuing and Completing dimension</x:v>
      </x:c>
      <x:c r="C9" s="24" t="str">
        <x:v>Implemented</x:v>
      </x:c>
    </x:row>
    <x:row r="10" ht="15" hidden="0" customHeight="1">
      <x:c r="A10" s="24" t="str">
        <x:v>Root cause and impact assessment</x:v>
      </x:c>
      <x:c r="B10" s="24" t="str">
        <x:v>Stage time, handoffs, repeat contact, rework and benefit tracking</x:v>
      </x:c>
      <x:c r="C10" s="24" t="str">
        <x:v>Implemented</x:v>
      </x:c>
    </x:row>
    <x:row r="11" ht="15" hidden="0" customHeight="1">
      <x:c r="A11" s="24" t="str">
        <x:v>Data quality/data health</x:v>
      </x:c>
      <x:c r="B11" s="24" t="str">
        <x:v>Injected defects, SQL remediation, issue register and visible QA</x:v>
      </x:c>
      <x:c r="C11" s="24" t="str">
        <x:v>Implemented</x:v>
      </x:c>
    </x:row>
    <x:row r="12" ht="15" hidden="0" customHeight="1">
      <x:c r="A12" s="24" t="str">
        <x:v>Demand pipeline</x:v>
      </x:c>
      <x:c r="B12" s="24" t="str">
        <x:v>Weekly workload/capacity and forward scenario analysis</x:v>
      </x:c>
      <x:c r="C12" s="24" t="str">
        <x:v>Implemented</x:v>
      </x:c>
    </x:row>
    <x:row r="13" ht="15" hidden="0" customHeight="1">
      <x:c r="A13" s="24" t="str">
        <x:v>AI/ML</x:v>
      </x:c>
      <x:c r="B13" s="24" t="str">
        <x:v>AI-ready contract and statistical forecast; no LLM claimed in v1</x:v>
      </x:c>
      <x:c r="C13" s="24" t="str">
        <x:v>Partial/future companion</x:v>
      </x:c>
    </x:row>
    <x:row r="14" ht="15" hidden="0" customHeight="1">
      <x:c r="A14" s="24" t="str">
        <x:v>Snowflake and Azure</x:v>
      </x:c>
      <x:c r="B14" s="24" t="str">
        <x:v>Target production architecture and Snowflake DDL</x:v>
      </x:c>
      <x:c r="C14" s="24" t="str">
        <x:v>Designed, not deployed</x:v>
      </x:c>
    </x:row>
    <x:row r="15" ht="15" hidden="0" customHeight="1">
      <x:c r="A15" s="24" t="str">
        <x:v>Analytics application development</x:v>
      </x:c>
      <x:c r="B15" s="24" t="str">
        <x:v>Read-only API and local Action Console</x:v>
      </x:c>
      <x:c r="C15" s="24" t="str">
        <x:v>Implemented</x:v>
      </x:c>
    </x:row>
    <x:row r="16" ht="15" hidden="0" customHeight="1">
      <x:c r="A16" s="24" t="str">
        <x:v>Executive communication</x:v>
      </x:c>
      <x:c r="B16" s="24" t="str">
        <x:v>Direct KPI hierarchy, evidence statements and action register</x:v>
      </x:c>
      <x:c r="C16" s="24" t="str">
        <x:v>Implemented</x:v>
      </x:c>
    </x:row>
    <x:row r="17" ht="15" hidden="0" customHeight="1">
      <x:c r="A17" s="24" t="str">
        <x:v>Agile/iterative delivery</x:v>
      </x:c>
      <x:c r="B17" s="24" t="str">
        <x:v>MVP boundaries, prioritised backlog and separated future AI increment</x:v>
      </x:c>
      <x:c r="C17" s="24" t="str">
        <x:v>Implemented</x:v>
      </x:c>
    </x:row>
    <x:row r="18" ht="15" hidden="0" customHeight="1">
      <x:c r="A18" s="25" t="str">
        <x:v>Attention to detail</x:v>
      </x:c>
      <x:c r="B18" s="25" t="str">
        <x:v>Automated reconciliation, scenario tests and explicit metric exclusions</x:v>
      </x:c>
      <x:c r="C18" s="25" t="str">
        <x:v>Implemented</x:v>
      </x:c>
    </x:row>
  </x:sheetData>
  <x:conditionalFormatting sqref="C2:C18">
    <x:cfRule type="containsText" dxfId="0" priority="1" operator="containsText" text="Implemented"/>
    <x:cfRule type="containsText" dxfId="1" priority="2" operator="containsText" text="Partial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4" hidden="0" customWidth="1"/>
    <x:col min="3" max="3" width="30" hidden="0" customWidth="1"/>
  </x:cols>
  <x:sheetData>
    <x:row r="1" ht="30" hidden="0" customHeight="1">
      <x:c r="A1" s="27" t="str">
        <x:v>Metric</x:v>
      </x:c>
      <x:c r="B1" s="27" t="str">
        <x:v>Definition</x:v>
      </x:c>
      <x:c r="C1" s="27" t="str">
        <x:v>Decision supported</x:v>
      </x:c>
    </x:row>
    <x:row r="2" ht="15" hidden="0" customHeight="1">
      <x:c r="A2" s="24" t="str">
        <x:v>Cases received</x:v>
      </x:c>
      <x:c r="B2" s="24" t="str">
        <x:v>Distinct valid submitted cases</x:v>
      </x:c>
      <x:c r="C2" s="24" t="str">
        <x:v>Demand volume</x:v>
      </x:c>
    </x:row>
    <x:row r="3" ht="15" hidden="0" customHeight="1">
      <x:c r="A3" s="24" t="str">
        <x:v>Cases closed</x:v>
      </x:c>
      <x:c r="B3" s="24" t="str">
        <x:v>Distinct cases resolved</x:v>
      </x:c>
      <x:c r="C3" s="24" t="str">
        <x:v>Throughput</x:v>
      </x:c>
    </x:row>
    <x:row r="4" ht="15" hidden="0" customHeight="1">
      <x:c r="A4" s="24" t="str">
        <x:v>Open backlog as of</x:v>
      </x:c>
      <x:c r="B4" s="24" t="str">
        <x:v>Submitted by selected date and unresolved at that date</x:v>
      </x:c>
      <x:c r="C4" s="24" t="str">
        <x:v>Operational workload</x:v>
      </x:c>
    </x:row>
    <x:row r="5" ht="15" hidden="0" customHeight="1">
      <x:c r="A5" s="24" t="str">
        <x:v>Cases per 1,000</x:v>
      </x:c>
      <x:c r="B5" s="24" t="str">
        <x:v>Cases divided by average monthly active population x 1,000</x:v>
      </x:c>
      <x:c r="C5" s="24" t="str">
        <x:v>Fair cohort comparison</x:v>
      </x:c>
    </x:row>
    <x:row r="6" ht="15" hidden="0" customHeight="1">
      <x:c r="A6" s="24" t="str">
        <x:v>Median/P90 resolution</x:v>
      </x:c>
      <x:c r="B6" s="24" t="str">
        <x:v>Typical and tail business resolution time</x:v>
      </x:c>
      <x:c r="C6" s="24" t="str">
        <x:v>Experience and risk</x:v>
      </x:c>
    </x:row>
    <x:row r="7" ht="15" hidden="0" customHeight="1">
      <x:c r="A7" s="24" t="str">
        <x:v>SLA compliance</x:v>
      </x:c>
      <x:c r="B7" s="24" t="str">
        <x:v>1 minus eligible resolution breaches divided by eligible resolved cases</x:v>
      </x:c>
      <x:c r="C7" s="24" t="str">
        <x:v>Service performance</x:v>
      </x:c>
    </x:row>
    <x:row r="8" ht="15" hidden="0" customHeight="1">
      <x:c r="A8" s="24" t="str">
        <x:v>First-contact resolution</x:v>
      </x:c>
      <x:c r="B8" s="24" t="str">
        <x:v>Resolved without repeat, handoff or reopen</x:v>
      </x:c>
      <x:c r="C8" s="24" t="str">
        <x:v>Quality</x:v>
      </x:c>
    </x:row>
    <x:row r="9" ht="15" hidden="0" customHeight="1">
      <x:c r="A9" s="24" t="str">
        <x:v>Repeat contact 14d</x:v>
      </x:c>
      <x:c r="B9" s="24" t="str">
        <x:v>Requester-initiated additional contact within 14 days</x:v>
      </x:c>
      <x:c r="C9" s="24" t="str">
        <x:v>Failure demand</x:v>
      </x:c>
    </x:row>
    <x:row r="10" ht="15" hidden="0" customHeight="1">
      <x:c r="A10" s="24" t="str">
        <x:v>Handoff rate</x:v>
      </x:c>
      <x:c r="B10" s="24" t="str">
        <x:v>Cases transferred at least once divided by cases</x:v>
      </x:c>
      <x:c r="C10" s="24" t="str">
        <x:v>Ownership clarity</x:v>
      </x:c>
    </x:row>
    <x:row r="11" ht="15" hidden="0" customHeight="1">
      <x:c r="A11" s="24" t="str">
        <x:v>Reopen rate</x:v>
      </x:c>
      <x:c r="B11" s="24" t="str">
        <x:v>Reopened divided by eligible resolved</x:v>
      </x:c>
      <x:c r="C11" s="24" t="str">
        <x:v>Outcome quality</x:v>
      </x:c>
    </x:row>
    <x:row r="12" ht="15" hidden="0" customHeight="1">
      <x:c r="A12" s="24" t="str">
        <x:v>Cost per resolved case</x:v>
      </x:c>
      <x:c r="B12" s="24" t="str">
        <x:v>Estimated operational cost divided by eligible resolved</x:v>
      </x:c>
      <x:c r="C12" s="24" t="str">
        <x:v>Efficiency</x:v>
      </x:c>
    </x:row>
    <x:row r="13" ht="15" hidden="0" customHeight="1">
      <x:c r="A13" s="24" t="str">
        <x:v>Capacity gap</x:v>
      </x:c>
      <x:c r="B13" s="24" t="str">
        <x:v>Required handle hours minus staffed productive hours</x:v>
      </x:c>
      <x:c r="C13" s="24" t="str">
        <x:v>Workforce planning</x:v>
      </x:c>
    </x:row>
    <x:row r="14" ht="15" hidden="0" customHeight="1">
      <x:c r="A14" s="24" t="str">
        <x:v>Self-service completion</x:v>
      </x:c>
      <x:c r="B14" s="24" t="str">
        <x:v>Successful completions divided by sessions</x:v>
      </x:c>
      <x:c r="C14" s="24" t="str">
        <x:v>Digital friction</x:v>
      </x:c>
    </x:row>
    <x:row r="15" ht="15" hidden="0" customHeight="1">
      <x:c r="A15" s="24" t="str">
        <x:v>Contractor rework</x:v>
      </x:c>
      <x:c r="B15" s="24" t="str">
        <x:v>Work orders requiring repeat work divided by work orders</x:v>
      </x:c>
      <x:c r="C15" s="24" t="str">
        <x:v>Vendor quality</x:v>
      </x:c>
    </x:row>
    <x:row r="16" ht="15" hidden="0" customHeight="1">
      <x:c r="A16" s="24" t="str">
        <x:v>CSAT positive</x:v>
      </x:c>
      <x:c r="B16" s="24" t="str">
        <x:v>Post-case scores 4 or 5 divided by valid responses</x:v>
      </x:c>
      <x:c r="C16" s="24" t="str">
        <x:v>Satisfaction</x:v>
      </x:c>
    </x:row>
    <x:row r="17" ht="15" hidden="0" customHeight="1">
      <x:c r="A17" s="24" t="str">
        <x:v>Customer effort</x:v>
      </x:c>
      <x:c r="B17" s="24" t="str">
        <x:v>Average CES from 1 difficult to 5 easy</x:v>
      </x:c>
      <x:c r="C17" s="24" t="str">
        <x:v>Friction</x:v>
      </x:c>
    </x:row>
    <x:row r="18" ht="15" hidden="0" customHeight="1">
      <x:c r="A18" s="24" t="str">
        <x:v>Forecast WAPE</x:v>
      </x:c>
      <x:c r="B18" s="24" t="str">
        <x:v>Absolute holdout error divided by actual holdout demand</x:v>
      </x:c>
      <x:c r="C18" s="24" t="str">
        <x:v>Model assurance</x:v>
      </x:c>
    </x:row>
    <x:row r="19" ht="15" hidden="0" customHeight="1">
      <x:c r="A19" s="25" t="str">
        <x:v>Avoidable staff hours</x:v>
      </x:c>
      <x:c r="B19" s="25" t="str">
        <x:v>Transparent estimate attached to each action</x:v>
      </x:c>
      <x:c r="C19" s="25" t="str">
        <x:v>Prioritisation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6" hidden="0" customWidth="1"/>
    <x:col min="3" max="3" width="60" hidden="0" customWidth="1"/>
  </x:cols>
  <x:sheetData>
    <x:row r="1" ht="30" hidden="0" customHeight="1">
      <x:c r="A1" s="27" t="str">
        <x:v>Table</x:v>
      </x:c>
      <x:c r="B1" s="27" t="str">
        <x:v>Grain</x:v>
      </x:c>
      <x:c r="C1" s="27" t="str">
        <x:v>Purpose</x:v>
      </x:c>
    </x:row>
    <x:row r="2" ht="15" hidden="0" customHeight="1">
      <x:c r="A2" s="24" t="str">
        <x:v>FactCase</x:v>
      </x:c>
      <x:c r="B2" s="24" t="str">
        <x:v>One curated service case</x:v>
      </x:c>
      <x:c r="C2" s="24" t="str">
        <x:v>Demand, SLA, cost, ownership and lifecycle</x:v>
      </x:c>
    </x:row>
    <x:row r="3" ht="15" hidden="0" customHeight="1">
      <x:c r="A3" s="24" t="str">
        <x:v>FactCaseEvent</x:v>
      </x:c>
      <x:c r="B3" s="24" t="str">
        <x:v>One workflow event</x:v>
      </x:c>
      <x:c r="C3" s="24" t="str">
        <x:v>Historical flow and bottleneck analysis</x:v>
      </x:c>
    </x:row>
    <x:row r="4" ht="15" hidden="0" customHeight="1">
      <x:c r="A4" s="24" t="str">
        <x:v>FactInteraction</x:v>
      </x:c>
      <x:c r="B4" s="24" t="str">
        <x:v>One contact</x:v>
      </x:c>
      <x:c r="C4" s="24" t="str">
        <x:v>Repeat contact and channel analysis</x:v>
      </x:c>
    </x:row>
    <x:row r="5" ht="15" hidden="0" customHeight="1">
      <x:c r="A5" s="24" t="str">
        <x:v>FactFeedback</x:v>
      </x:c>
      <x:c r="B5" s="24" t="str">
        <x:v>One response</x:v>
      </x:c>
      <x:c r="C5" s="24" t="str">
        <x:v>Student, staff and contractor experience</x:v>
      </x:c>
    </x:row>
    <x:row r="6" ht="15" hidden="0" customHeight="1">
      <x:c r="A6" s="24" t="str">
        <x:v>FactCapacityWeekly</x:v>
      </x:c>
      <x:c r="B6" s="24" t="str">
        <x:v>One team-week</x:v>
      </x:c>
      <x:c r="C6" s="24" t="str">
        <x:v>Demand, workload and capacity</x:v>
      </x:c>
    </x:row>
    <x:row r="7" ht="15" hidden="0" customHeight="1">
      <x:c r="A7" s="24" t="str">
        <x:v>FactWorkOrder</x:v>
      </x:c>
      <x:c r="B7" s="24" t="str">
        <x:v>One work order</x:v>
      </x:c>
      <x:c r="C7" s="24" t="str">
        <x:v>Facilities contractor performance</x:v>
      </x:c>
    </x:row>
    <x:row r="8" ht="15" hidden="0" customHeight="1">
      <x:c r="A8" s="24" t="str">
        <x:v>FactDigitalJourneyDaily</x:v>
      </x:c>
      <x:c r="B8" s="24" t="str">
        <x:v>One service-day</x:v>
      </x:c>
      <x:c r="C8" s="24" t="str">
        <x:v>Self-service and deflection</x:v>
      </x:c>
    </x:row>
    <x:row r="9" ht="15" hidden="0" customHeight="1">
      <x:c r="A9" s="24" t="str">
        <x:v>FactPopulationMonthly</x:v>
      </x:c>
      <x:c r="B9" s="24" t="str">
        <x:v>One month-campus-cohort-stage</x:v>
      </x:c>
      <x:c r="C9" s="24" t="str">
        <x:v>Population denominator</x:v>
      </x:c>
    </x:row>
    <x:row r="10" ht="15" hidden="0" customHeight="1">
      <x:c r="A10" s="24" t="str">
        <x:v>FactActionInsight</x:v>
      </x:c>
      <x:c r="B10" s="24" t="str">
        <x:v>One recommendation</x:v>
      </x:c>
      <x:c r="C10" s="24" t="str">
        <x:v>Evidence, owner, target and outcome</x:v>
      </x:c>
    </x:row>
    <x:row r="11" ht="15" hidden="0" customHeight="1">
      <x:c r="A11" s="24" t="str">
        <x:v>FactDemandForecast</x:v>
      </x:c>
      <x:c r="B11" s="24" t="str">
        <x:v>One service-week-model</x:v>
      </x:c>
      <x:c r="C11" s="24" t="str">
        <x:v>Historical fit and 12-week forecast</x:v>
      </x:c>
    </x:row>
    <x:row r="12" ht="15" hidden="0" customHeight="1">
      <x:c r="A12" s="24" t="str">
        <x:v>ForecastModelEvaluation</x:v>
      </x:c>
      <x:c r="B12" s="24" t="str">
        <x:v>One service-model</x:v>
      </x:c>
      <x:c r="C12" s="24" t="str">
        <x:v>Holdout MAE, RMSE, WAPE and bias</x:v>
      </x:c>
    </x:row>
    <x:row r="13" ht="15" hidden="0" customHeight="1">
      <x:c r="A13" s="24" t="str">
        <x:v>DimDate</x:v>
      </x:c>
      <x:c r="B13" s="24" t="str">
        <x:v>One day</x:v>
      </x:c>
      <x:c r="C13" s="24" t="str">
        <x:v>Calendar and academic phase</x:v>
      </x:c>
    </x:row>
    <x:row r="14" ht="15" hidden="0" customHeight="1">
      <x:c r="A14" s="24" t="str">
        <x:v>DimService</x:v>
      </x:c>
      <x:c r="B14" s="24" t="str">
        <x:v>One service</x:v>
      </x:c>
      <x:c r="C14" s="24" t="str">
        <x:v>Enterprise service scope</x:v>
      </x:c>
    </x:row>
    <x:row r="15" ht="15" hidden="0" customHeight="1">
      <x:c r="A15" s="24" t="str">
        <x:v>DimTeam</x:v>
      </x:c>
      <x:c r="B15" s="24" t="str">
        <x:v>One owner team</x:v>
      </x:c>
      <x:c r="C15" s="24" t="str">
        <x:v>Operational accountability</x:v>
      </x:c>
    </x:row>
    <x:row r="16" ht="15" hidden="0" customHeight="1">
      <x:c r="A16" s="24" t="str">
        <x:v>DimCampus</x:v>
      </x:c>
      <x:c r="B16" s="24" t="str">
        <x:v>One campus</x:v>
      </x:c>
      <x:c r="C16" s="24" t="str">
        <x:v>Location segmentation</x:v>
      </x:c>
    </x:row>
    <x:row r="17" ht="15" hidden="0" customHeight="1">
      <x:c r="A17" s="24" t="str">
        <x:v>DimCohort</x:v>
      </x:c>
      <x:c r="B17" s="24" t="str">
        <x:v>One requester cohort</x:v>
      </x:c>
      <x:c r="C17" s="24" t="str">
        <x:v>Equity and requester analysis</x:v>
      </x:c>
    </x:row>
    <x:row r="18" ht="15" hidden="0" customHeight="1">
      <x:c r="A18" s="24" t="str">
        <x:v>DimLifecycleStage</x:v>
      </x:c>
      <x:c r="B18" s="24" t="str">
        <x:v>One journey stage</x:v>
      </x:c>
      <x:c r="C18" s="24" t="str">
        <x:v>Student lifecycle context</x:v>
      </x:c>
    </x:row>
    <x:row r="19" ht="15" hidden="0" customHeight="1">
      <x:c r="A19" s="24" t="str">
        <x:v>DimChannel</x:v>
      </x:c>
      <x:c r="B19" s="24" t="str">
        <x:v>One channel</x:v>
      </x:c>
      <x:c r="C19" s="24" t="str">
        <x:v>Contact mode</x:v>
      </x:c>
    </x:row>
    <x:row r="20" ht="15" hidden="0" customHeight="1">
      <x:c r="A20" s="25" t="str">
        <x:v>DimSLA</x:v>
      </x:c>
      <x:c r="B20" s="25" t="str">
        <x:v>One priority</x:v>
      </x:c>
      <x:c r="C20" s="25" t="str">
        <x:v>Response and resolution target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4" customHeight="1">
      <x:c r="A1" s="3" t="str">
        <x:v>Implementation QA Overview</x:v>
      </x:c>
      <x:c r="B1" s="2"/>
      <x:c r="C1" s="2"/>
      <x:c r="D1" s="2"/>
      <x:c r="E1" s="2"/>
      <x:c r="F1" s="2"/>
      <x:c r="G1" s="2"/>
      <x:c r="H1" s="2"/>
    </x:row>
    <x:row r="2" ht="24" customHeight="1">
      <x:c r="A2" s="4" t="str">
        <x:v>Formula-linked counts, forecast quality and action opportunity snapshot</x:v>
      </x:c>
      <x:c r="B2" s="2"/>
      <x:c r="C2" s="2"/>
      <x:c r="D2" s="2"/>
      <x:c r="E2" s="2"/>
      <x:c r="F2" s="2"/>
      <x:c r="G2" s="2"/>
      <x:c r="H2" s="2"/>
    </x:row>
    <x:row r="4">
      <x:c r="A4" s="43" t="str">
        <x:v>Curated cases</x:v>
      </x:c>
      <x:c r="B4" s="44" t="str">
        <x:v>Events</x:v>
      </x:c>
      <x:c r="C4" s="44" t="str">
        <x:v>Interactions</x:v>
      </x:c>
      <x:c r="D4" s="44" t="str">
        <x:v>Feedback</x:v>
      </x:c>
      <x:c r="E4" s="44" t="str">
        <x:v>Actions</x:v>
      </x:c>
      <x:c r="F4" s="45" t="str">
        <x:v>Forecast WAPE</x:v>
      </x:c>
    </x:row>
    <x:row r="5">
      <x:c r="A5" s="46" t="n">
        <x:f>'Validation'!B2</x:f>
        <x:v>18000</x:v>
      </x:c>
      <x:c r="B5" s="47" t="n">
        <x:f>'Validation'!B3</x:f>
        <x:v>70000</x:v>
      </x:c>
      <x:c r="C5" s="47" t="n">
        <x:f>'Validation'!B4</x:f>
        <x:v>35000</x:v>
      </x:c>
      <x:c r="D5" s="47" t="n">
        <x:f>'Validation'!B5</x:f>
        <x:v>6000</x:v>
      </x:c>
      <x:c r="E5" s="47" t="n">
        <x:f>'Validation'!B7</x:f>
        <x:v>8</x:v>
      </x:c>
      <x:c r="F5" s="48" t="n">
        <x:f>AVERAGE('Forecast QA'!G2:G4)</x:f>
        <x:v>0.13266666666666668</x:v>
      </x:c>
    </x:row>
    <x:row r="8" ht="30" customHeight="1">
      <x:c r="A8" s="7" t="str">
        <x:v>Action</x:v>
      </x:c>
      <x:c r="B8" s="7" t="str">
        <x:v>Avoidable hours</x:v>
      </x:c>
    </x:row>
    <x:row r="9">
      <x:c r="A9" t="str">
        <x:f>'Action Register'!A2</x:f>
        <x:v>ACT-001</x:v>
      </x:c>
      <x:c r="B9" s="49" t="n">
        <x:f>'Action Register'!V2</x:f>
        <x:v>1366</x:v>
      </x:c>
    </x:row>
    <x:row r="10">
      <x:c r="A10" t="str">
        <x:f>'Action Register'!A3</x:f>
        <x:v>ACT-002</x:v>
      </x:c>
      <x:c r="B10" s="49" t="n">
        <x:f>'Action Register'!V3</x:f>
        <x:v>508.5</x:v>
      </x:c>
    </x:row>
    <x:row r="11">
      <x:c r="A11" t="str">
        <x:f>'Action Register'!A4</x:f>
        <x:v>ACT-003</x:v>
      </x:c>
      <x:c r="B11" s="49" t="n">
        <x:f>'Action Register'!V4</x:f>
        <x:v>120</x:v>
      </x:c>
    </x:row>
    <x:row r="12">
      <x:c r="A12" t="str">
        <x:f>'Action Register'!A5</x:f>
        <x:v>ACT-004</x:v>
      </x:c>
      <x:c r="B12" s="49" t="n">
        <x:f>'Action Register'!V5</x:f>
        <x:v>400.7</x:v>
      </x:c>
    </x:row>
    <x:row r="13">
      <x:c r="A13" t="str">
        <x:f>'Action Register'!A6</x:f>
        <x:v>ACT-005</x:v>
      </x:c>
      <x:c r="B13" s="49" t="n">
        <x:f>'Action Register'!V6</x:f>
        <x:v>612.5</x:v>
      </x:c>
    </x:row>
    <x:row r="14">
      <x:c r="A14" t="str">
        <x:f>'Action Register'!A7</x:f>
        <x:v>ACT-006</x:v>
      </x:c>
      <x:c r="B14" s="49" t="n">
        <x:f>'Action Register'!V7</x:f>
        <x:v>84.2</x:v>
      </x:c>
    </x:row>
    <x:row r="15">
      <x:c r="A15" t="str">
        <x:f>'Action Register'!A8</x:f>
        <x:v>ACT-007</x:v>
      </x:c>
      <x:c r="B15" s="49" t="n">
        <x:f>'Action Register'!V8</x:f>
        <x:v>18</x:v>
      </x:c>
    </x:row>
    <x:row r="16">
      <x:c r="A16" t="str">
        <x:f>'Action Register'!A9</x:f>
        <x:v>ACT-008</x:v>
      </x:c>
      <x:c r="B16" s="49" t="n">
        <x:f>'Action Register'!V9</x:f>
        <x:v>174.2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240e8b70f77548e4"/>
</x:worksheet>
</file>